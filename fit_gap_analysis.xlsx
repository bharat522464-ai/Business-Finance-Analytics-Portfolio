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t-Gap Analysi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<sst xmlns="http://schemas.openxmlformats.org/spreadsheetml/2006/main" count="162" uniqueCount="99">
  <si>
    <t xml:space="preserve">Lakeside Supply Co. – Odoo Fit-Gap Analysis (fictional portfolio project)</t>
  </si>
  <si>
    <t xml:space="preserve">Fit = standard feature · Configure = settings only, no code · Gap = needs a workaround or add-on</t>
  </si>
  <si>
    <t xml:space="preserve">Req ID</t>
  </si>
  <si>
    <t xml:space="preserve">Area</t>
  </si>
  <si>
    <t xml:space="preserve">Requirement</t>
  </si>
  <si>
    <t xml:space="preserve">Priority</t>
  </si>
  <si>
    <t xml:space="preserve">Fit / Gap</t>
  </si>
  <si>
    <t xml:space="preserve">Odoo solution or workaround</t>
  </si>
  <si>
    <t xml:space="preserve">BR-01</t>
  </si>
  <si>
    <t xml:space="preserve">Sales</t>
  </si>
  <si>
    <t xml:space="preserve">Show on-hand and forecasted stock when quoting</t>
  </si>
  <si>
    <t xml:space="preserve">Must</t>
  </si>
  <si>
    <t xml:space="preserve">Fit</t>
  </si>
  <si>
    <t xml:space="preserve">Standard: product availability on sales order lines</t>
  </si>
  <si>
    <t xml:space="preserve">BR-02</t>
  </si>
  <si>
    <t xml:space="preserve">Purchase</t>
  </si>
  <si>
    <t xml:space="preserve">PO approval above $5,000</t>
  </si>
  <si>
    <t xml:space="preserve">Configure</t>
  </si>
  <si>
    <t xml:space="preserve">Purchase settings: two-step approval with amount threshold</t>
  </si>
  <si>
    <t xml:space="preserve">BR-03</t>
  </si>
  <si>
    <t xml:space="preserve">Accounting</t>
  </si>
  <si>
    <t xml:space="preserve">3-way match: PO, receipt, vendor bill</t>
  </si>
  <si>
    <t xml:space="preserve">Bill control policy set to 'Received quantities'</t>
  </si>
  <si>
    <t xml:space="preserve">BR-04</t>
  </si>
  <si>
    <t xml:space="preserve">Inventory</t>
  </si>
  <si>
    <t xml:space="preserve">Perpetual inventory posts to GL automatically</t>
  </si>
  <si>
    <t xml:space="preserve">Product category costing: average cost, automated valuation</t>
  </si>
  <si>
    <t xml:space="preserve">BR-05</t>
  </si>
  <si>
    <t xml:space="preserve">Reorder rules create draft POs</t>
  </si>
  <si>
    <t xml:space="preserve">Should</t>
  </si>
  <si>
    <t xml:space="preserve">Standard replenishment (min/max) rules</t>
  </si>
  <si>
    <t xml:space="preserve">BR-06</t>
  </si>
  <si>
    <t xml:space="preserve">Daily bank feed and reconciliation</t>
  </si>
  <si>
    <t xml:space="preserve">Standard bank synchronization and reconciliation models</t>
  </si>
  <si>
    <t xml:space="preserve">BR-07</t>
  </si>
  <si>
    <t xml:space="preserve">Month-end close checklist with owners</t>
  </si>
  <si>
    <t xml:space="preserve">Gap</t>
  </si>
  <si>
    <t xml:space="preserve">Workaround: recurring tasks in Odoo Project with owners and deadlines</t>
  </si>
  <si>
    <t xml:space="preserve">BR-08</t>
  </si>
  <si>
    <t xml:space="preserve">Credit limit blocks new orders</t>
  </si>
  <si>
    <t xml:space="preserve">Customer credit limit setting with sales warning/block</t>
  </si>
  <si>
    <t xml:space="preserve">BR-09</t>
  </si>
  <si>
    <t xml:space="preserve">Budget vs. actual by department</t>
  </si>
  <si>
    <t xml:space="preserve">Budgets with analytic accounts per department</t>
  </si>
  <si>
    <t xml:space="preserve">BR-10</t>
  </si>
  <si>
    <t xml:space="preserve">Cycle counts by category</t>
  </si>
  <si>
    <t xml:space="preserve">Could</t>
  </si>
  <si>
    <t xml:space="preserve">Standard inventory adjustments filtered by category</t>
  </si>
  <si>
    <t xml:space="preserve">BR-11</t>
  </si>
  <si>
    <t xml:space="preserve">Customer-specific price lists</t>
  </si>
  <si>
    <t xml:space="preserve">Standard pricelists</t>
  </si>
  <si>
    <t xml:space="preserve">BR-12</t>
  </si>
  <si>
    <t xml:space="preserve">Partial shipments with backorders</t>
  </si>
  <si>
    <t xml:space="preserve">Standard backorder handling</t>
  </si>
  <si>
    <t xml:space="preserve">BR-13</t>
  </si>
  <si>
    <t xml:space="preserve">Barcode scanning for receipts and picks</t>
  </si>
  <si>
    <t xml:space="preserve">Barcode app</t>
  </si>
  <si>
    <t xml:space="preserve">BR-14</t>
  </si>
  <si>
    <t xml:space="preserve">Lot tracking for regulated chemicals</t>
  </si>
  <si>
    <t xml:space="preserve">Enable lots and serial numbers on selected products</t>
  </si>
  <si>
    <t xml:space="preserve">BR-15</t>
  </si>
  <si>
    <t xml:space="preserve">Vendor price lists and lead times</t>
  </si>
  <si>
    <t xml:space="preserve">Vendor pricelists on product form</t>
  </si>
  <si>
    <t xml:space="preserve">BR-16</t>
  </si>
  <si>
    <t xml:space="preserve">AP aging and AR aging reports</t>
  </si>
  <si>
    <t xml:space="preserve">Standard aged payables and receivables</t>
  </si>
  <si>
    <t xml:space="preserve">BR-17</t>
  </si>
  <si>
    <t xml:space="preserve">Accrual for received-not-billed goods</t>
  </si>
  <si>
    <t xml:space="preserve">Received-not-billed report and accrual entry</t>
  </si>
  <si>
    <t xml:space="preserve">BR-18</t>
  </si>
  <si>
    <t xml:space="preserve">Sales tax by state</t>
  </si>
  <si>
    <t xml:space="preserve">Fiscal positions and tax mapping</t>
  </si>
  <si>
    <t xml:space="preserve">BR-19</t>
  </si>
  <si>
    <t xml:space="preserve">Multi-currency vendor bills (CAD)</t>
  </si>
  <si>
    <t xml:space="preserve">Standard multi-currency</t>
  </si>
  <si>
    <t xml:space="preserve">BR-20</t>
  </si>
  <si>
    <t xml:space="preserve">Reporting</t>
  </si>
  <si>
    <t xml:space="preserve">Daily sales dashboard for owner</t>
  </si>
  <si>
    <t xml:space="preserve">Standard sales analysis with saved filters</t>
  </si>
  <si>
    <t xml:space="preserve">BR-21</t>
  </si>
  <si>
    <t xml:space="preserve">Integration</t>
  </si>
  <si>
    <t xml:space="preserve">Sync orders from existing Shopify store</t>
  </si>
  <si>
    <t xml:space="preserve">Add-on connector from Odoo Apps; evaluate cost in phase 2</t>
  </si>
  <si>
    <t xml:space="preserve">BR-22</t>
  </si>
  <si>
    <t xml:space="preserve">Landed costs (freight) on imported goods</t>
  </si>
  <si>
    <t xml:space="preserve">Enable landed costs and allocate by value</t>
  </si>
  <si>
    <t xml:space="preserve">BR-23</t>
  </si>
  <si>
    <t xml:space="preserve">Commission report by salesperson</t>
  </si>
  <si>
    <t xml:space="preserve">Workaround: export sales by salesperson to Excel monthly</t>
  </si>
  <si>
    <t xml:space="preserve">BR-24</t>
  </si>
  <si>
    <t xml:space="preserve">Custom 13-week cash flow forecast</t>
  </si>
  <si>
    <t xml:space="preserve">Workaround: export AR/AP aging to Excel cash model</t>
  </si>
  <si>
    <t xml:space="preserve">Fit-Gap Summary</t>
  </si>
  <si>
    <t xml:space="preserve">Result</t>
  </si>
  <si>
    <t xml:space="preserve">Count</t>
  </si>
  <si>
    <t xml:space="preserve">% of total</t>
  </si>
  <si>
    <t xml:space="preserve">Total</t>
  </si>
  <si>
    <t xml:space="preserve">Met by standard or configuration</t>
  </si>
  <si>
    <t xml:space="preserve">Must-have gaps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</si>
</sst>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5" t="s">
        <v>12</v>
      </c>
      <c r="F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11</v>
      </c>
      <c r="E6" s="6" t="s">
        <v>17</v>
      </c>
      <c r="F6" s="4" t="s">
        <v>18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11</v>
      </c>
      <c r="E7" s="6" t="s">
        <v>17</v>
      </c>
      <c r="F7" s="4" t="s">
        <v>22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11</v>
      </c>
      <c r="E8" s="6" t="s">
        <v>17</v>
      </c>
      <c r="F8" s="4" t="s">
        <v>26</v>
      </c>
    </row>
    <row r="9" customFormat="false" ht="15" hidden="false" customHeight="false" outlineLevel="0" collapsed="false">
      <c r="A9" s="4" t="s">
        <v>27</v>
      </c>
      <c r="B9" s="4" t="s">
        <v>15</v>
      </c>
      <c r="C9" s="4" t="s">
        <v>28</v>
      </c>
      <c r="D9" s="4" t="s">
        <v>29</v>
      </c>
      <c r="E9" s="5" t="s">
        <v>12</v>
      </c>
      <c r="F9" s="4" t="s">
        <v>30</v>
      </c>
    </row>
    <row r="10" customFormat="false" ht="15" hidden="false" customHeight="false" outlineLevel="0" collapsed="false">
      <c r="A10" s="4" t="s">
        <v>31</v>
      </c>
      <c r="B10" s="4" t="s">
        <v>20</v>
      </c>
      <c r="C10" s="4" t="s">
        <v>32</v>
      </c>
      <c r="D10" s="4" t="s">
        <v>11</v>
      </c>
      <c r="E10" s="5" t="s">
        <v>12</v>
      </c>
      <c r="F10" s="4" t="s">
        <v>33</v>
      </c>
    </row>
    <row r="11" customFormat="false" ht="23.85" hidden="false" customHeight="false" outlineLevel="0" collapsed="false">
      <c r="A11" s="4" t="s">
        <v>34</v>
      </c>
      <c r="B11" s="4" t="s">
        <v>20</v>
      </c>
      <c r="C11" s="4" t="s">
        <v>35</v>
      </c>
      <c r="D11" s="4" t="s">
        <v>29</v>
      </c>
      <c r="E11" s="7" t="s">
        <v>36</v>
      </c>
      <c r="F11" s="4" t="s">
        <v>37</v>
      </c>
    </row>
    <row r="12" customFormat="false" ht="15" hidden="false" customHeight="false" outlineLevel="0" collapsed="false">
      <c r="A12" s="4" t="s">
        <v>38</v>
      </c>
      <c r="B12" s="4" t="s">
        <v>9</v>
      </c>
      <c r="C12" s="4" t="s">
        <v>39</v>
      </c>
      <c r="D12" s="4" t="s">
        <v>29</v>
      </c>
      <c r="E12" s="6" t="s">
        <v>17</v>
      </c>
      <c r="F12" s="4" t="s">
        <v>40</v>
      </c>
    </row>
    <row r="13" customFormat="false" ht="15" hidden="false" customHeight="false" outlineLevel="0" collapsed="false">
      <c r="A13" s="4" t="s">
        <v>41</v>
      </c>
      <c r="B13" s="4" t="s">
        <v>20</v>
      </c>
      <c r="C13" s="4" t="s">
        <v>42</v>
      </c>
      <c r="D13" s="4" t="s">
        <v>29</v>
      </c>
      <c r="E13" s="6" t="s">
        <v>17</v>
      </c>
      <c r="F13" s="4" t="s">
        <v>43</v>
      </c>
    </row>
    <row r="14" customFormat="false" ht="15" hidden="false" customHeight="false" outlineLevel="0" collapsed="false">
      <c r="A14" s="4" t="s">
        <v>44</v>
      </c>
      <c r="B14" s="4" t="s">
        <v>24</v>
      </c>
      <c r="C14" s="4" t="s">
        <v>45</v>
      </c>
      <c r="D14" s="4" t="s">
        <v>46</v>
      </c>
      <c r="E14" s="5" t="s">
        <v>12</v>
      </c>
      <c r="F14" s="4" t="s">
        <v>47</v>
      </c>
    </row>
    <row r="15" customFormat="false" ht="15" hidden="false" customHeight="false" outlineLevel="0" collapsed="false">
      <c r="A15" s="4" t="s">
        <v>48</v>
      </c>
      <c r="B15" s="4" t="s">
        <v>9</v>
      </c>
      <c r="C15" s="4" t="s">
        <v>49</v>
      </c>
      <c r="D15" s="4" t="s">
        <v>11</v>
      </c>
      <c r="E15" s="5" t="s">
        <v>12</v>
      </c>
      <c r="F15" s="4" t="s">
        <v>50</v>
      </c>
    </row>
    <row r="16" customFormat="false" ht="15" hidden="false" customHeight="false" outlineLevel="0" collapsed="false">
      <c r="A16" s="4" t="s">
        <v>51</v>
      </c>
      <c r="B16" s="4" t="s">
        <v>9</v>
      </c>
      <c r="C16" s="4" t="s">
        <v>52</v>
      </c>
      <c r="D16" s="4" t="s">
        <v>11</v>
      </c>
      <c r="E16" s="5" t="s">
        <v>12</v>
      </c>
      <c r="F16" s="4" t="s">
        <v>53</v>
      </c>
    </row>
    <row r="17" customFormat="false" ht="15" hidden="false" customHeight="false" outlineLevel="0" collapsed="false">
      <c r="A17" s="4" t="s">
        <v>54</v>
      </c>
      <c r="B17" s="4" t="s">
        <v>24</v>
      </c>
      <c r="C17" s="4" t="s">
        <v>55</v>
      </c>
      <c r="D17" s="4" t="s">
        <v>29</v>
      </c>
      <c r="E17" s="5" t="s">
        <v>12</v>
      </c>
      <c r="F17" s="4" t="s">
        <v>56</v>
      </c>
    </row>
    <row r="18" customFormat="false" ht="15" hidden="false" customHeight="false" outlineLevel="0" collapsed="false">
      <c r="A18" s="4" t="s">
        <v>57</v>
      </c>
      <c r="B18" s="4" t="s">
        <v>24</v>
      </c>
      <c r="C18" s="4" t="s">
        <v>58</v>
      </c>
      <c r="D18" s="4" t="s">
        <v>11</v>
      </c>
      <c r="E18" s="6" t="s">
        <v>17</v>
      </c>
      <c r="F18" s="4" t="s">
        <v>59</v>
      </c>
    </row>
    <row r="19" customFormat="false" ht="15" hidden="false" customHeight="false" outlineLevel="0" collapsed="false">
      <c r="A19" s="4" t="s">
        <v>60</v>
      </c>
      <c r="B19" s="4" t="s">
        <v>15</v>
      </c>
      <c r="C19" s="4" t="s">
        <v>61</v>
      </c>
      <c r="D19" s="4" t="s">
        <v>29</v>
      </c>
      <c r="E19" s="5" t="s">
        <v>12</v>
      </c>
      <c r="F19" s="4" t="s">
        <v>62</v>
      </c>
    </row>
    <row r="20" customFormat="false" ht="15" hidden="false" customHeight="false" outlineLevel="0" collapsed="false">
      <c r="A20" s="4" t="s">
        <v>63</v>
      </c>
      <c r="B20" s="4" t="s">
        <v>20</v>
      </c>
      <c r="C20" s="4" t="s">
        <v>64</v>
      </c>
      <c r="D20" s="4" t="s">
        <v>11</v>
      </c>
      <c r="E20" s="5" t="s">
        <v>12</v>
      </c>
      <c r="F20" s="4" t="s">
        <v>65</v>
      </c>
    </row>
    <row r="21" customFormat="false" ht="15" hidden="false" customHeight="false" outlineLevel="0" collapsed="false">
      <c r="A21" s="4" t="s">
        <v>66</v>
      </c>
      <c r="B21" s="4" t="s">
        <v>20</v>
      </c>
      <c r="C21" s="4" t="s">
        <v>67</v>
      </c>
      <c r="D21" s="4" t="s">
        <v>11</v>
      </c>
      <c r="E21" s="6" t="s">
        <v>17</v>
      </c>
      <c r="F21" s="4" t="s">
        <v>68</v>
      </c>
    </row>
    <row r="22" customFormat="false" ht="15" hidden="false" customHeight="false" outlineLevel="0" collapsed="false">
      <c r="A22" s="4" t="s">
        <v>69</v>
      </c>
      <c r="B22" s="4" t="s">
        <v>20</v>
      </c>
      <c r="C22" s="4" t="s">
        <v>70</v>
      </c>
      <c r="D22" s="4" t="s">
        <v>11</v>
      </c>
      <c r="E22" s="6" t="s">
        <v>17</v>
      </c>
      <c r="F22" s="4" t="s">
        <v>71</v>
      </c>
    </row>
    <row r="23" customFormat="false" ht="15" hidden="false" customHeight="false" outlineLevel="0" collapsed="false">
      <c r="A23" s="4" t="s">
        <v>72</v>
      </c>
      <c r="B23" s="4" t="s">
        <v>20</v>
      </c>
      <c r="C23" s="4" t="s">
        <v>73</v>
      </c>
      <c r="D23" s="4" t="s">
        <v>46</v>
      </c>
      <c r="E23" s="5" t="s">
        <v>12</v>
      </c>
      <c r="F23" s="4" t="s">
        <v>74</v>
      </c>
    </row>
    <row r="24" customFormat="false" ht="15" hidden="false" customHeight="false" outlineLevel="0" collapsed="false">
      <c r="A24" s="4" t="s">
        <v>75</v>
      </c>
      <c r="B24" s="4" t="s">
        <v>76</v>
      </c>
      <c r="C24" s="4" t="s">
        <v>77</v>
      </c>
      <c r="D24" s="4" t="s">
        <v>29</v>
      </c>
      <c r="E24" s="5" t="s">
        <v>12</v>
      </c>
      <c r="F24" s="4" t="s">
        <v>78</v>
      </c>
    </row>
    <row r="25" customFormat="false" ht="15" hidden="false" customHeight="false" outlineLevel="0" collapsed="false">
      <c r="A25" s="4" t="s">
        <v>79</v>
      </c>
      <c r="B25" s="4" t="s">
        <v>80</v>
      </c>
      <c r="C25" s="4" t="s">
        <v>81</v>
      </c>
      <c r="D25" s="4" t="s">
        <v>46</v>
      </c>
      <c r="E25" s="7" t="s">
        <v>36</v>
      </c>
      <c r="F25" s="4" t="s">
        <v>82</v>
      </c>
    </row>
    <row r="26" customFormat="false" ht="15" hidden="false" customHeight="false" outlineLevel="0" collapsed="false">
      <c r="A26" s="4" t="s">
        <v>83</v>
      </c>
      <c r="B26" s="4" t="s">
        <v>24</v>
      </c>
      <c r="C26" s="4" t="s">
        <v>84</v>
      </c>
      <c r="D26" s="4" t="s">
        <v>29</v>
      </c>
      <c r="E26" s="6" t="s">
        <v>17</v>
      </c>
      <c r="F26" s="4" t="s">
        <v>85</v>
      </c>
    </row>
    <row r="27" customFormat="false" ht="15" hidden="false" customHeight="false" outlineLevel="0" collapsed="false">
      <c r="A27" s="4" t="s">
        <v>86</v>
      </c>
      <c r="B27" s="4" t="s">
        <v>76</v>
      </c>
      <c r="C27" s="4" t="s">
        <v>87</v>
      </c>
      <c r="D27" s="4" t="s">
        <v>29</v>
      </c>
      <c r="E27" s="7" t="s">
        <v>36</v>
      </c>
      <c r="F27" s="4" t="s">
        <v>88</v>
      </c>
    </row>
    <row r="28" customFormat="false" ht="15" hidden="false" customHeight="false" outlineLevel="0" collapsed="false">
      <c r="A28" s="4" t="s">
        <v>89</v>
      </c>
      <c r="B28" s="4" t="s">
        <v>20</v>
      </c>
      <c r="C28" s="4" t="s">
        <v>90</v>
      </c>
      <c r="D28" s="4" t="s">
        <v>29</v>
      </c>
      <c r="E28" s="7" t="s">
        <v>36</v>
      </c>
      <c r="F28" s="4" t="s">
        <v>91</v>
      </c>
    </row>
  </sheetData>
  <dataValidations count="1">
    <dataValidation allowBlank="false" errorStyle="stop" operator="between" showDropDown="false" showErrorMessage="false" showInputMessage="false" sqref="E5:E28" type="list">
      <formula1>"Fit,Configure,Gap"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1" t="s">
        <v>92</v>
      </c>
    </row>
    <row r="3" customFormat="false" ht="15" hidden="false" customHeight="false" outlineLevel="0" collapsed="false">
      <c r="A3" s="3" t="s">
        <v>93</v>
      </c>
      <c r="B3" s="3" t="s">
        <v>94</v>
      </c>
      <c r="C3" s="3" t="s">
        <v>95</v>
      </c>
    </row>
    <row r="4" customFormat="false" ht="15" hidden="false" customHeight="false" outlineLevel="0" collapsed="false">
      <c r="A4" s="4" t="s">
        <v>12</v>
      </c>
      <c r="B4" s="4" t="n">
        <f aca="false">COUNTIF('Fit-Gap Analysis'!$E$5:$E$28,A4)</f>
        <v>11</v>
      </c>
      <c r="C4" s="8" t="n">
        <f aca="false">IF($B$7=0,0,B4/$B$7)</f>
        <v>0.458333333333333</v>
      </c>
    </row>
    <row r="5" customFormat="false" ht="15" hidden="false" customHeight="false" outlineLevel="0" collapsed="false">
      <c r="A5" s="4" t="s">
        <v>17</v>
      </c>
      <c r="B5" s="4" t="n">
        <f aca="false">COUNTIF('Fit-Gap Analysis'!$E$5:$E$28,A5)</f>
        <v>9</v>
      </c>
      <c r="C5" s="8" t="n">
        <f aca="false">IF($B$7=0,0,B5/$B$7)</f>
        <v>0.375</v>
      </c>
    </row>
    <row r="6" customFormat="false" ht="15" hidden="false" customHeight="false" outlineLevel="0" collapsed="false">
      <c r="A6" s="4" t="s">
        <v>36</v>
      </c>
      <c r="B6" s="4" t="n">
        <f aca="false">COUNTIF('Fit-Gap Analysis'!$E$5:$E$28,A6)</f>
        <v>4</v>
      </c>
      <c r="C6" s="8" t="n">
        <f aca="false">IF($B$7=0,0,B6/$B$7)</f>
        <v>0.166666666666667</v>
      </c>
    </row>
    <row r="7" customFormat="false" ht="15" hidden="false" customHeight="false" outlineLevel="0" collapsed="false">
      <c r="A7" s="9" t="s">
        <v>96</v>
      </c>
      <c r="B7" s="4" t="n">
        <f aca="false">SUM(B4:B6)</f>
        <v>24</v>
      </c>
      <c r="C7" s="8" t="n">
        <f aca="false">SUM(C4:C6)</f>
        <v>1</v>
      </c>
    </row>
    <row r="8" customFormat="false" ht="15" hidden="false" customHeight="false" outlineLevel="0" collapsed="false">
      <c r="A8" s="4"/>
      <c r="B8" s="4"/>
      <c r="C8" s="8"/>
    </row>
    <row r="9" customFormat="false" ht="15" hidden="false" customHeight="false" outlineLevel="0" collapsed="false">
      <c r="A9" s="9" t="s">
        <v>97</v>
      </c>
      <c r="B9" s="4" t="n">
        <f aca="false">B4+B5</f>
        <v>20</v>
      </c>
      <c r="C9" s="8" t="n">
        <f aca="false">IF($B$7=0,0,B9/$B$7)</f>
        <v>0.833333333333333</v>
      </c>
    </row>
    <row r="10" customFormat="false" ht="15" hidden="false" customHeight="false" outlineLevel="0" collapsed="false">
      <c r="A10" s="4"/>
      <c r="B10" s="4"/>
      <c r="C10" s="4"/>
    </row>
    <row r="11" customFormat="false" ht="15" hidden="false" customHeight="false" outlineLevel="0" collapsed="false">
      <c r="A11" s="9" t="s">
        <v>98</v>
      </c>
      <c r="B11" s="4" t="n">
        <f aca="false">COUNTIFS('Fit-Gap Analysis'!$D$5:$D$28,"Must",'Fit-Gap Analysis'!$E$5:$E$28,"Gap")</f>
        <v>0</v>
      </c>
      <c r="C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2026-10-12T15:34:42Z</dcterms:created>
  <dc:creator>openpyxl</dc:creator>
  <dc:description/>
  <dc:language>en-US</dc:language>
  <cp:lastModifiedBy/>
  <dcterms:modified xsi:type="dcterms:W3CDTF">2026-10-12T15:34:42Z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